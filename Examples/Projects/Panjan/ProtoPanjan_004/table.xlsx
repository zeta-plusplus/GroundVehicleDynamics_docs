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rabacr\VPSsync\01-WorkspaceSync\modelica-shared\CustomLib\Workspace\Panjandrum\"/>
    </mc:Choice>
  </mc:AlternateContent>
  <xr:revisionPtr revIDLastSave="0" documentId="13_ncr:1_{955822A7-A5B9-4AB5-B711-CC7E1949A7E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 iterate="1" iterateCount="2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H3" i="1"/>
  <c r="BS10" i="1"/>
  <c r="BV10" i="1" s="1"/>
  <c r="BB10" i="1"/>
  <c r="AL10" i="1"/>
  <c r="AO10" i="1" s="1"/>
  <c r="AD10" i="1"/>
  <c r="N10" i="1"/>
  <c r="Q10" i="1" s="1"/>
  <c r="F10" i="1"/>
  <c r="BS9" i="1"/>
  <c r="BV9" i="1" s="1"/>
  <c r="BB9" i="1"/>
  <c r="AL9" i="1"/>
  <c r="AO9" i="1" s="1"/>
  <c r="AD9" i="1"/>
  <c r="Q9" i="1"/>
  <c r="N9" i="1"/>
  <c r="F9" i="1"/>
  <c r="BS8" i="1"/>
  <c r="BV8" i="1" s="1"/>
  <c r="BB8" i="1"/>
  <c r="AL8" i="1"/>
  <c r="AO8" i="1" s="1"/>
  <c r="AD8" i="1"/>
  <c r="N8" i="1"/>
  <c r="Q8" i="1" s="1"/>
  <c r="F8" i="1"/>
  <c r="BV7" i="1"/>
  <c r="BS7" i="1"/>
  <c r="BB7" i="1"/>
  <c r="AL7" i="1"/>
  <c r="AO7" i="1" s="1"/>
  <c r="AD7" i="1"/>
  <c r="N7" i="1"/>
  <c r="Q7" i="1" s="1"/>
  <c r="F7" i="1"/>
  <c r="BS6" i="1"/>
  <c r="BV6" i="1" s="1"/>
  <c r="BY6" i="1" s="1"/>
  <c r="BB6" i="1"/>
  <c r="AL6" i="1"/>
  <c r="AO6" i="1" s="1"/>
  <c r="AD6" i="1"/>
  <c r="N6" i="1"/>
  <c r="Q6" i="1" s="1"/>
  <c r="F6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AJ3" i="1"/>
  <c r="AI3" i="1"/>
  <c r="AH3" i="1"/>
  <c r="AG3" i="1"/>
  <c r="AF3" i="1"/>
  <c r="T6" i="1" l="1"/>
  <c r="AR6" i="1"/>
</calcChain>
</file>

<file path=xl/sharedStrings.xml><?xml version="1.0" encoding="utf-8"?>
<sst xmlns="http://schemas.openxmlformats.org/spreadsheetml/2006/main" count="126" uniqueCount="6">
  <si>
    <t>|</t>
  </si>
  <si>
    <t>u2→</t>
  </si>
  <si>
    <t>u1↓</t>
  </si>
  <si>
    <t>=</t>
  </si>
  <si>
    <t>[0, -30, -5, -0.01, 0, 1.99, 2, 3.99, 4, 5.99, 6, 7.99, 8, 40; -20, 1, 1, 1, 0.8, 0.8, 0.6, 0.6, 0.4, 0.4, 0.2, 0.2, 0, 0; 0, 1, 1, 1, 0.8, 0.8, 0.6, 0.6, 0.4, 0.4, 0.2, 0.2, 0, 0; 20, 1, 1, 1, 0.8, 0.8, 0.6, 0.6, 0.4, 0.4, 0.2, 0.2, 0, 0; 60, 1, 1, 1, 0.8, 0.8, 0.6, 0.6, 0.4, 0.4, 0.2, 0.2, 0, 0]</t>
  </si>
  <si>
    <t>[0, -20, -0.9, -0.89, 40; -20, 0, 0, 0, 0; 1, 0, 0, 0, 0; 2, 0, 0, 0, 0; 40, 0, 0, 0, 0]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</si>
</sst>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Noto Sans CJK JP"/>
      <family val="2"/>
      <charset val="1"/>
    </font>
    <font>
      <sz val="9"/>
      <name val="Noto Sans CJK JP"/>
      <family val="2"/>
      <charset val="1"/>
    </font>
    <font>
      <sz val="9"/>
      <name val="Noto Sans JP"/>
      <family val="2"/>
      <charset val="128"/>
    </font>
    <font>
      <sz val="9"/>
      <name val="Arial"/>
      <family val="2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B3B3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z - y - x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25"/>
      <c:rotY val="30"/>
      <c:rAngAx val="0"/>
      <c:perspective val="0"/>
    </c:view3D>
    <c:floor>
      <c:thickness val="0"/>
      <c:spPr>
        <a:noFill/>
        <a:ln w="12600">
          <a:noFill/>
        </a:ln>
      </c:spPr>
    </c:floor>
    <c:sideWall>
      <c:thickness val="0"/>
      <c:spPr>
        <a:noFill/>
        <a:ln w="12600">
          <a:noFill/>
        </a:ln>
      </c:spPr>
    </c:sideWall>
    <c:backWall>
      <c:thickness val="0"/>
      <c:spPr>
        <a:noFill/>
        <a:ln w="12600">
          <a:noFill/>
        </a:ln>
      </c:spPr>
    </c:backWall>
    <c:plotArea>
      <c:layout/>
      <c:area3DChart>
        <c:grouping val="standard"/>
        <c:varyColors val="1"/>
        <c:ser>
          <c:idx val="0"/>
          <c:order val="0"/>
          <c:tx>
            <c:strRef>
              <c:f>Sheet1!$AF$7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Sheet1!$AG$6:$AJ$6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Sheet1!$AG$7:$AJ$7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1-40F4-8AB3-9246D82C5B86}"/>
            </c:ext>
          </c:extLst>
        </c:ser>
        <c:ser>
          <c:idx val="1"/>
          <c:order val="1"/>
          <c:tx>
            <c:strRef>
              <c:f>Sheet1!$AF$8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Sheet1!$AG$6:$AJ$6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Sheet1!$AG$8:$AJ$8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1-40F4-8AB3-9246D82C5B86}"/>
            </c:ext>
          </c:extLst>
        </c:ser>
        <c:ser>
          <c:idx val="2"/>
          <c:order val="2"/>
          <c:tx>
            <c:strRef>
              <c:f>Sheet1!$AF$9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196B2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Sheet1!$AG$6:$AJ$6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Sheet1!$AG$9:$AJ$9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41-40F4-8AB3-9246D82C5B86}"/>
            </c:ext>
          </c:extLst>
        </c:ser>
        <c:ser>
          <c:idx val="3"/>
          <c:order val="3"/>
          <c:tx>
            <c:strRef>
              <c:f>Sheet1!$AF$10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0F9ED5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Sheet1!$AG$6:$AJ$6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Sheet1!$AG$10:$AJ$10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41-40F4-8AB3-9246D82C5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9983"/>
        <c:axId val="64309879"/>
        <c:axId val="85612528"/>
      </c:area3DChart>
      <c:catAx>
        <c:axId val="10449983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64309879"/>
        <c:crosses val="autoZero"/>
        <c:auto val="1"/>
        <c:lblAlgn val="ctr"/>
        <c:lblOffset val="100"/>
        <c:noMultiLvlLbl val="0"/>
      </c:catAx>
      <c:valAx>
        <c:axId val="643098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10449983"/>
        <c:crosses val="autoZero"/>
        <c:crossBetween val="midCat"/>
      </c:valAx>
      <c:serAx>
        <c:axId val="8561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ja-JP"/>
          </a:p>
        </c:txPr>
        <c:crossAx val="64309879"/>
        <c:crosses val="autoZero"/>
      </c:ser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ja-JP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z - y - x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25"/>
      <c:rotY val="30"/>
      <c:rAngAx val="0"/>
      <c:perspective val="0"/>
    </c:view3D>
    <c:floor>
      <c:thickness val="0"/>
      <c:spPr>
        <a:noFill/>
        <a:ln w="12600">
          <a:noFill/>
        </a:ln>
      </c:spPr>
    </c:floor>
    <c:sideWall>
      <c:thickness val="0"/>
      <c:spPr>
        <a:noFill/>
        <a:ln w="12600">
          <a:noFill/>
        </a:ln>
      </c:spPr>
    </c:sideWall>
    <c:backWall>
      <c:thickness val="0"/>
      <c:spPr>
        <a:noFill/>
        <a:ln w="12600">
          <a:noFill/>
        </a:ln>
      </c:spPr>
    </c:backWall>
    <c:plotArea>
      <c:layout/>
      <c:area3DChart>
        <c:grouping val="standard"/>
        <c:varyColors val="1"/>
        <c:ser>
          <c:idx val="0"/>
          <c:order val="0"/>
          <c:tx>
            <c:strRef>
              <c:f>Sheet1!$H$7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Sheet1!$I$6:$L$6</c:f>
              <c:numCache>
                <c:formatCode>General</c:formatCode>
                <c:ptCount val="4"/>
                <c:pt idx="0">
                  <c:v>-20</c:v>
                </c:pt>
                <c:pt idx="1">
                  <c:v>-0.9</c:v>
                </c:pt>
                <c:pt idx="2">
                  <c:v>-0.89</c:v>
                </c:pt>
                <c:pt idx="3">
                  <c:v>40</c:v>
                </c:pt>
              </c:numCache>
            </c:numRef>
          </c:cat>
          <c:val>
            <c:numRef>
              <c:f>Sheet1!$I$7:$L$7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1-4E9F-957F-A46B460AAE57}"/>
            </c:ext>
          </c:extLst>
        </c:ser>
        <c:ser>
          <c:idx val="1"/>
          <c:order val="1"/>
          <c:tx>
            <c:strRef>
              <c:f>Sheet1!$H$8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Sheet1!$I$6:$L$6</c:f>
              <c:numCache>
                <c:formatCode>General</c:formatCode>
                <c:ptCount val="4"/>
                <c:pt idx="0">
                  <c:v>-20</c:v>
                </c:pt>
                <c:pt idx="1">
                  <c:v>-0.9</c:v>
                </c:pt>
                <c:pt idx="2">
                  <c:v>-0.89</c:v>
                </c:pt>
                <c:pt idx="3">
                  <c:v>40</c:v>
                </c:pt>
              </c:numCache>
            </c:numRef>
          </c:cat>
          <c:val>
            <c:numRef>
              <c:f>Sheet1!$I$8:$L$8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61-4E9F-957F-A46B460AAE57}"/>
            </c:ext>
          </c:extLst>
        </c:ser>
        <c:ser>
          <c:idx val="2"/>
          <c:order val="2"/>
          <c:tx>
            <c:strRef>
              <c:f>Sheet1!$H$9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196B2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Sheet1!$I$6:$L$6</c:f>
              <c:numCache>
                <c:formatCode>General</c:formatCode>
                <c:ptCount val="4"/>
                <c:pt idx="0">
                  <c:v>-20</c:v>
                </c:pt>
                <c:pt idx="1">
                  <c:v>-0.9</c:v>
                </c:pt>
                <c:pt idx="2">
                  <c:v>-0.89</c:v>
                </c:pt>
                <c:pt idx="3">
                  <c:v>40</c:v>
                </c:pt>
              </c:numCache>
            </c:numRef>
          </c:cat>
          <c:val>
            <c:numRef>
              <c:f>Sheet1!$I$9:$L$9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1-4E9F-957F-A46B460AAE57}"/>
            </c:ext>
          </c:extLst>
        </c:ser>
        <c:ser>
          <c:idx val="3"/>
          <c:order val="3"/>
          <c:tx>
            <c:strRef>
              <c:f>Sheet1!$H$10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0F9ED5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Sheet1!$I$6:$L$6</c:f>
              <c:numCache>
                <c:formatCode>General</c:formatCode>
                <c:ptCount val="4"/>
                <c:pt idx="0">
                  <c:v>-20</c:v>
                </c:pt>
                <c:pt idx="1">
                  <c:v>-0.9</c:v>
                </c:pt>
                <c:pt idx="2">
                  <c:v>-0.89</c:v>
                </c:pt>
                <c:pt idx="3">
                  <c:v>40</c:v>
                </c:pt>
              </c:numCache>
            </c:numRef>
          </c:cat>
          <c:val>
            <c:numRef>
              <c:f>Sheet1!$I$10:$L$10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61-4E9F-957F-A46B460AA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20197"/>
        <c:axId val="83107688"/>
        <c:axId val="94332951"/>
      </c:area3DChart>
      <c:catAx>
        <c:axId val="69420197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83107688"/>
        <c:crosses val="autoZero"/>
        <c:auto val="1"/>
        <c:lblAlgn val="ctr"/>
        <c:lblOffset val="100"/>
        <c:noMultiLvlLbl val="0"/>
      </c:catAx>
      <c:valAx>
        <c:axId val="831076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69420197"/>
        <c:crosses val="autoZero"/>
        <c:crossBetween val="midCat"/>
      </c:valAx>
      <c:serAx>
        <c:axId val="94332951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83107688"/>
        <c:crosses val="autoZero"/>
      </c:ser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ja-JP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z - y - x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25"/>
      <c:rotY val="30"/>
      <c:rAngAx val="0"/>
      <c:perspective val="0"/>
    </c:view3D>
    <c:floor>
      <c:thickness val="0"/>
      <c:spPr>
        <a:noFill/>
        <a:ln w="12600">
          <a:noFill/>
        </a:ln>
      </c:spPr>
    </c:floor>
    <c:sideWall>
      <c:thickness val="0"/>
      <c:spPr>
        <a:noFill/>
        <a:ln w="12600">
          <a:noFill/>
        </a:ln>
      </c:spPr>
    </c:sideWall>
    <c:backWall>
      <c:thickness val="0"/>
      <c:spPr>
        <a:noFill/>
        <a:ln w="12600">
          <a:noFill/>
        </a:ln>
      </c:spPr>
    </c:backWall>
    <c:plotArea>
      <c:layout/>
      <c:area3DChart>
        <c:grouping val="standard"/>
        <c:varyColors val="1"/>
        <c:ser>
          <c:idx val="0"/>
          <c:order val="0"/>
          <c:tx>
            <c:strRef>
              <c:f>Sheet1!$BD$7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Sheet1!$BE$6:$BQ$6</c:f>
              <c:numCache>
                <c:formatCode>General</c:formatCode>
                <c:ptCount val="13"/>
                <c:pt idx="0">
                  <c:v>-30</c:v>
                </c:pt>
                <c:pt idx="1">
                  <c:v>-5</c:v>
                </c:pt>
                <c:pt idx="2">
                  <c:v>-0.01</c:v>
                </c:pt>
                <c:pt idx="3">
                  <c:v>0</c:v>
                </c:pt>
                <c:pt idx="4">
                  <c:v>1.99</c:v>
                </c:pt>
                <c:pt idx="5">
                  <c:v>2</c:v>
                </c:pt>
                <c:pt idx="6">
                  <c:v>3.99</c:v>
                </c:pt>
                <c:pt idx="7">
                  <c:v>4</c:v>
                </c:pt>
                <c:pt idx="8">
                  <c:v>5.99</c:v>
                </c:pt>
                <c:pt idx="9">
                  <c:v>6</c:v>
                </c:pt>
                <c:pt idx="10">
                  <c:v>7.99</c:v>
                </c:pt>
                <c:pt idx="11">
                  <c:v>8</c:v>
                </c:pt>
                <c:pt idx="12">
                  <c:v>40</c:v>
                </c:pt>
              </c:numCache>
            </c:numRef>
          </c:cat>
          <c:val>
            <c:numRef>
              <c:f>Sheet1!$BE$7:$BQ$7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0.8</c:v>
                </c:pt>
                <c:pt idx="5">
                  <c:v>0.6</c:v>
                </c:pt>
                <c:pt idx="6">
                  <c:v>0.6</c:v>
                </c:pt>
                <c:pt idx="7">
                  <c:v>0.4</c:v>
                </c:pt>
                <c:pt idx="8">
                  <c:v>0.4</c:v>
                </c:pt>
                <c:pt idx="9">
                  <c:v>0.2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8-4C1F-B526-1445C10577CA}"/>
            </c:ext>
          </c:extLst>
        </c:ser>
        <c:ser>
          <c:idx val="1"/>
          <c:order val="1"/>
          <c:tx>
            <c:strRef>
              <c:f>Sheet1!$BD$8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Sheet1!$BE$6:$BQ$6</c:f>
              <c:numCache>
                <c:formatCode>General</c:formatCode>
                <c:ptCount val="13"/>
                <c:pt idx="0">
                  <c:v>-30</c:v>
                </c:pt>
                <c:pt idx="1">
                  <c:v>-5</c:v>
                </c:pt>
                <c:pt idx="2">
                  <c:v>-0.01</c:v>
                </c:pt>
                <c:pt idx="3">
                  <c:v>0</c:v>
                </c:pt>
                <c:pt idx="4">
                  <c:v>1.99</c:v>
                </c:pt>
                <c:pt idx="5">
                  <c:v>2</c:v>
                </c:pt>
                <c:pt idx="6">
                  <c:v>3.99</c:v>
                </c:pt>
                <c:pt idx="7">
                  <c:v>4</c:v>
                </c:pt>
                <c:pt idx="8">
                  <c:v>5.99</c:v>
                </c:pt>
                <c:pt idx="9">
                  <c:v>6</c:v>
                </c:pt>
                <c:pt idx="10">
                  <c:v>7.99</c:v>
                </c:pt>
                <c:pt idx="11">
                  <c:v>8</c:v>
                </c:pt>
                <c:pt idx="12">
                  <c:v>40</c:v>
                </c:pt>
              </c:numCache>
            </c:numRef>
          </c:cat>
          <c:val>
            <c:numRef>
              <c:f>Sheet1!$BE$8:$BQ$8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0.8</c:v>
                </c:pt>
                <c:pt idx="5">
                  <c:v>0.6</c:v>
                </c:pt>
                <c:pt idx="6">
                  <c:v>0.6</c:v>
                </c:pt>
                <c:pt idx="7">
                  <c:v>0.4</c:v>
                </c:pt>
                <c:pt idx="8">
                  <c:v>0.4</c:v>
                </c:pt>
                <c:pt idx="9">
                  <c:v>0.2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8-4C1F-B526-1445C10577CA}"/>
            </c:ext>
          </c:extLst>
        </c:ser>
        <c:ser>
          <c:idx val="2"/>
          <c:order val="2"/>
          <c:tx>
            <c:strRef>
              <c:f>Sheet1!$BD$9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196B2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Sheet1!$BE$6:$BQ$6</c:f>
              <c:numCache>
                <c:formatCode>General</c:formatCode>
                <c:ptCount val="13"/>
                <c:pt idx="0">
                  <c:v>-30</c:v>
                </c:pt>
                <c:pt idx="1">
                  <c:v>-5</c:v>
                </c:pt>
                <c:pt idx="2">
                  <c:v>-0.01</c:v>
                </c:pt>
                <c:pt idx="3">
                  <c:v>0</c:v>
                </c:pt>
                <c:pt idx="4">
                  <c:v>1.99</c:v>
                </c:pt>
                <c:pt idx="5">
                  <c:v>2</c:v>
                </c:pt>
                <c:pt idx="6">
                  <c:v>3.99</c:v>
                </c:pt>
                <c:pt idx="7">
                  <c:v>4</c:v>
                </c:pt>
                <c:pt idx="8">
                  <c:v>5.99</c:v>
                </c:pt>
                <c:pt idx="9">
                  <c:v>6</c:v>
                </c:pt>
                <c:pt idx="10">
                  <c:v>7.99</c:v>
                </c:pt>
                <c:pt idx="11">
                  <c:v>8</c:v>
                </c:pt>
                <c:pt idx="12">
                  <c:v>40</c:v>
                </c:pt>
              </c:numCache>
            </c:numRef>
          </c:cat>
          <c:val>
            <c:numRef>
              <c:f>Sheet1!$BE$9:$BQ$9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0.8</c:v>
                </c:pt>
                <c:pt idx="5">
                  <c:v>0.6</c:v>
                </c:pt>
                <c:pt idx="6">
                  <c:v>0.6</c:v>
                </c:pt>
                <c:pt idx="7">
                  <c:v>0.4</c:v>
                </c:pt>
                <c:pt idx="8">
                  <c:v>0.4</c:v>
                </c:pt>
                <c:pt idx="9">
                  <c:v>0.2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8-4C1F-B526-1445C10577CA}"/>
            </c:ext>
          </c:extLst>
        </c:ser>
        <c:ser>
          <c:idx val="3"/>
          <c:order val="3"/>
          <c:tx>
            <c:strRef>
              <c:f>Sheet1!$BD$10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rgbClr val="0F9ED5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Sheet1!$BE$6:$BQ$6</c:f>
              <c:numCache>
                <c:formatCode>General</c:formatCode>
                <c:ptCount val="13"/>
                <c:pt idx="0">
                  <c:v>-30</c:v>
                </c:pt>
                <c:pt idx="1">
                  <c:v>-5</c:v>
                </c:pt>
                <c:pt idx="2">
                  <c:v>-0.01</c:v>
                </c:pt>
                <c:pt idx="3">
                  <c:v>0</c:v>
                </c:pt>
                <c:pt idx="4">
                  <c:v>1.99</c:v>
                </c:pt>
                <c:pt idx="5">
                  <c:v>2</c:v>
                </c:pt>
                <c:pt idx="6">
                  <c:v>3.99</c:v>
                </c:pt>
                <c:pt idx="7">
                  <c:v>4</c:v>
                </c:pt>
                <c:pt idx="8">
                  <c:v>5.99</c:v>
                </c:pt>
                <c:pt idx="9">
                  <c:v>6</c:v>
                </c:pt>
                <c:pt idx="10">
                  <c:v>7.99</c:v>
                </c:pt>
                <c:pt idx="11">
                  <c:v>8</c:v>
                </c:pt>
                <c:pt idx="12">
                  <c:v>40</c:v>
                </c:pt>
              </c:numCache>
            </c:numRef>
          </c:cat>
          <c:val>
            <c:numRef>
              <c:f>Sheet1!$BE$10:$BQ$10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0.8</c:v>
                </c:pt>
                <c:pt idx="5">
                  <c:v>0.6</c:v>
                </c:pt>
                <c:pt idx="6">
                  <c:v>0.6</c:v>
                </c:pt>
                <c:pt idx="7">
                  <c:v>0.4</c:v>
                </c:pt>
                <c:pt idx="8">
                  <c:v>0.4</c:v>
                </c:pt>
                <c:pt idx="9">
                  <c:v>0.2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E8-4C1F-B526-1445C1057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437"/>
        <c:axId val="41224936"/>
        <c:axId val="31969427"/>
      </c:area3DChart>
      <c:catAx>
        <c:axId val="15344437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41224936"/>
        <c:crosses val="autoZero"/>
        <c:auto val="1"/>
        <c:lblAlgn val="ctr"/>
        <c:lblOffset val="100"/>
        <c:noMultiLvlLbl val="0"/>
      </c:catAx>
      <c:valAx>
        <c:axId val="412249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15344437"/>
        <c:crosses val="autoZero"/>
        <c:crossBetween val="midCat"/>
      </c:valAx>
      <c:serAx>
        <c:axId val="31969427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ja-JP"/>
          </a:p>
        </c:txPr>
        <c:crossAx val="41224936"/>
        <c:crosses val="autoZero"/>
      </c:ser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ja-JP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0</xdr:colOff>
      <xdr:row>7</xdr:row>
      <xdr:rowOff>118080</xdr:rowOff>
    </xdr:from>
    <xdr:to>
      <xdr:col>49</xdr:col>
      <xdr:colOff>437760</xdr:colOff>
      <xdr:row>23</xdr:row>
      <xdr:rowOff>56880</xdr:rowOff>
    </xdr:to>
    <xdr:graphicFrame macro="">
      <xdr:nvGraphicFramePr>
        <xdr:cNvPr id="2" name="グラフ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7</xdr:row>
      <xdr:rowOff>118080</xdr:rowOff>
    </xdr:from>
    <xdr:to>
      <xdr:col>25</xdr:col>
      <xdr:colOff>307080</xdr:colOff>
      <xdr:row>23</xdr:row>
      <xdr:rowOff>63720</xdr:rowOff>
    </xdr:to>
    <xdr:graphicFrame macro="">
      <xdr:nvGraphicFramePr>
        <xdr:cNvPr id="3" name="グラフ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75</xdr:col>
      <xdr:colOff>159120</xdr:colOff>
      <xdr:row>11</xdr:row>
      <xdr:rowOff>720</xdr:rowOff>
    </xdr:from>
    <xdr:to>
      <xdr:col>82</xdr:col>
      <xdr:colOff>277920</xdr:colOff>
      <xdr:row>26</xdr:row>
      <xdr:rowOff>106920</xdr:rowOff>
    </xdr:to>
    <xdr:graphicFrame macro="">
      <xdr:nvGraphicFramePr>
        <xdr:cNvPr id="4" name="グラフ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CI30"/>
  <sheetViews>
    <sheetView tabSelected="1" zoomScale="90" zoomScaleNormal="90" workbookViewId="0">
      <selection activeCell="N20" sqref="N20"/>
    </sheetView>
  </sheetViews>
  <sheetFormatPr defaultColWidth="11.88671875" defaultRowHeight="12" outlineLevelCol="1"/>
  <cols>
    <col min="1" max="2" width="4.5546875" style="1" customWidth="1"/>
    <col min="3" max="3" width="1.88671875" style="1" customWidth="1"/>
    <col min="4" max="4" width="2.6640625" style="1" customWidth="1"/>
    <col min="5" max="5" width="1.88671875" style="1" customWidth="1"/>
    <col min="6" max="6" width="4.5546875" style="1" customWidth="1"/>
    <col min="7" max="7" width="1.6640625" style="1" customWidth="1"/>
    <col min="8" max="12" width="6.109375" style="1" customWidth="1" outlineLevel="1"/>
    <col min="13" max="13" width="2.44140625" style="1" customWidth="1" outlineLevel="1"/>
    <col min="14" max="14" width="19.33203125" style="1" customWidth="1" outlineLevel="1"/>
    <col min="15" max="15" width="2.44140625" style="1" customWidth="1" outlineLevel="1"/>
    <col min="16" max="16" width="2.109375" style="1" customWidth="1" outlineLevel="1"/>
    <col min="17" max="17" width="21" style="1" customWidth="1" outlineLevel="1"/>
    <col min="18" max="19" width="2.6640625" style="1" customWidth="1" outlineLevel="1"/>
    <col min="20" max="26" width="11.88671875" style="1" outlineLevel="1"/>
    <col min="27" max="27" width="1.88671875" style="1" customWidth="1"/>
    <col min="28" max="28" width="2.6640625" style="1" customWidth="1"/>
    <col min="29" max="29" width="1.88671875" style="1" customWidth="1"/>
    <col min="30" max="30" width="4.5546875" style="1" customWidth="1"/>
    <col min="31" max="31" width="1.6640625" style="1" customWidth="1"/>
    <col min="32" max="36" width="6.109375" style="1" customWidth="1" outlineLevel="1"/>
    <col min="37" max="37" width="2.44140625" style="1" customWidth="1" outlineLevel="1"/>
    <col min="38" max="38" width="19.33203125" style="1" customWidth="1" outlineLevel="1"/>
    <col min="39" max="39" width="2.44140625" style="1" customWidth="1" outlineLevel="1"/>
    <col min="40" max="40" width="2.109375" style="1" customWidth="1" outlineLevel="1"/>
    <col min="41" max="41" width="21" style="1" customWidth="1" outlineLevel="1"/>
    <col min="42" max="43" width="2.6640625" style="1" customWidth="1" outlineLevel="1"/>
    <col min="44" max="50" width="11.88671875" style="1" outlineLevel="1"/>
    <col min="51" max="53" width="2.6640625" style="1" customWidth="1"/>
    <col min="54" max="54" width="4.5546875" style="1" customWidth="1"/>
    <col min="55" max="55" width="1.6640625" style="1" customWidth="1"/>
    <col min="56" max="56" width="5.5546875" style="1" customWidth="1" outlineLevel="1"/>
    <col min="57" max="69" width="4.88671875" style="1" customWidth="1" outlineLevel="1"/>
    <col min="70" max="70" width="2.44140625" style="1" customWidth="1" outlineLevel="1"/>
    <col min="71" max="71" width="19.33203125" style="1" customWidth="1" outlineLevel="1"/>
    <col min="72" max="72" width="2.21875" style="1" customWidth="1" outlineLevel="1"/>
    <col min="73" max="73" width="2.109375" style="1" customWidth="1" outlineLevel="1"/>
    <col min="74" max="74" width="21" style="1" customWidth="1" outlineLevel="1"/>
    <col min="75" max="75" width="1.88671875" style="1" customWidth="1" outlineLevel="1"/>
    <col min="76" max="76" width="2.6640625" style="1" customWidth="1" outlineLevel="1"/>
    <col min="77" max="83" width="11.88671875" style="1" outlineLevel="1"/>
    <col min="84" max="86" width="2.6640625" style="1" customWidth="1"/>
    <col min="88" max="16384" width="11.88671875" style="1"/>
  </cols>
  <sheetData>
    <row r="1" spans="4:85">
      <c r="P1" s="2"/>
      <c r="AN1" s="2"/>
      <c r="BU1" s="2"/>
    </row>
    <row r="3" spans="4:85" ht="14.4">
      <c r="D3" s="1" t="s">
        <v>0</v>
      </c>
      <c r="F3" s="3" t="s">
        <v>1</v>
      </c>
      <c r="H3" s="1">
        <f>COLUMN()-COLUMN($G3)</f>
        <v>1</v>
      </c>
      <c r="I3" s="1">
        <f t="shared" ref="I3:L3" si="0">COLUMN()-COLUMN($G3)</f>
        <v>2</v>
      </c>
      <c r="J3" s="1">
        <f t="shared" si="0"/>
        <v>3</v>
      </c>
      <c r="K3" s="1">
        <f t="shared" si="0"/>
        <v>4</v>
      </c>
      <c r="L3" s="1">
        <f t="shared" si="0"/>
        <v>5</v>
      </c>
      <c r="AB3" s="1" t="s">
        <v>0</v>
      </c>
      <c r="AD3" s="3" t="s">
        <v>1</v>
      </c>
      <c r="AF3" s="1">
        <f>COLUMN()-COLUMN($AE3)</f>
        <v>1</v>
      </c>
      <c r="AG3" s="1">
        <f>COLUMN()-COLUMN($AE3)</f>
        <v>2</v>
      </c>
      <c r="AH3" s="1">
        <f>COLUMN()-COLUMN($AE3)</f>
        <v>3</v>
      </c>
      <c r="AI3" s="1">
        <f>COLUMN()-COLUMN($AE3)</f>
        <v>4</v>
      </c>
      <c r="AJ3" s="1">
        <f>COLUMN()-COLUMN($AE3)</f>
        <v>5</v>
      </c>
      <c r="AZ3" s="1" t="s">
        <v>0</v>
      </c>
      <c r="BB3" s="3" t="s">
        <v>1</v>
      </c>
      <c r="BD3" s="1">
        <f t="shared" ref="BD3:BQ3" si="1">COLUMN()-COLUMN($BC3)</f>
        <v>1</v>
      </c>
      <c r="BE3" s="1">
        <f t="shared" si="1"/>
        <v>2</v>
      </c>
      <c r="BF3" s="1">
        <f t="shared" si="1"/>
        <v>3</v>
      </c>
      <c r="BG3" s="1">
        <f t="shared" si="1"/>
        <v>4</v>
      </c>
      <c r="BH3" s="1">
        <f t="shared" si="1"/>
        <v>5</v>
      </c>
      <c r="BI3" s="1">
        <f t="shared" si="1"/>
        <v>6</v>
      </c>
      <c r="BJ3" s="1">
        <f t="shared" si="1"/>
        <v>7</v>
      </c>
      <c r="BK3" s="1">
        <f t="shared" si="1"/>
        <v>8</v>
      </c>
      <c r="BL3" s="1">
        <f t="shared" si="1"/>
        <v>9</v>
      </c>
      <c r="BM3" s="1">
        <f t="shared" si="1"/>
        <v>10</v>
      </c>
      <c r="BN3" s="1">
        <f t="shared" si="1"/>
        <v>11</v>
      </c>
      <c r="BO3" s="1">
        <f t="shared" si="1"/>
        <v>12</v>
      </c>
      <c r="BP3" s="1">
        <f t="shared" si="1"/>
        <v>13</v>
      </c>
      <c r="BQ3" s="1">
        <f t="shared" si="1"/>
        <v>14</v>
      </c>
      <c r="CG3" s="1" t="s">
        <v>0</v>
      </c>
    </row>
    <row r="4" spans="4:85" ht="14.4">
      <c r="D4" s="1" t="s">
        <v>0</v>
      </c>
      <c r="F4" s="3" t="s">
        <v>2</v>
      </c>
      <c r="AB4" s="1" t="s">
        <v>0</v>
      </c>
      <c r="AD4" s="3" t="s">
        <v>2</v>
      </c>
      <c r="AZ4" s="1" t="s">
        <v>0</v>
      </c>
      <c r="BB4" s="3" t="s">
        <v>2</v>
      </c>
      <c r="CG4" s="1" t="s">
        <v>0</v>
      </c>
    </row>
    <row r="5" spans="4:85" ht="9" customHeight="1">
      <c r="D5" s="1" t="s">
        <v>0</v>
      </c>
      <c r="AB5" s="1" t="s">
        <v>0</v>
      </c>
      <c r="AZ5" s="1" t="s">
        <v>0</v>
      </c>
      <c r="CG5" s="1" t="s">
        <v>0</v>
      </c>
    </row>
    <row r="6" spans="4:85" ht="14.4">
      <c r="D6" s="1" t="s">
        <v>0</v>
      </c>
      <c r="F6" s="1">
        <f>ROW()-ROW(F$5)</f>
        <v>1</v>
      </c>
      <c r="H6" s="4"/>
      <c r="I6" s="1">
        <v>-20</v>
      </c>
      <c r="J6" s="1">
        <v>-0.9</v>
      </c>
      <c r="K6" s="1">
        <v>-0.89</v>
      </c>
      <c r="L6" s="1">
        <v>40</v>
      </c>
      <c r="N6" s="1" t="str">
        <f>H6&amp;", "&amp;I6&amp;", "&amp;J6&amp;", "&amp;K6&amp;", "&amp;L6</f>
        <v>, -20, -0.9, -0.89, 40</v>
      </c>
      <c r="P6" s="3" t="s">
        <v>3</v>
      </c>
      <c r="Q6" s="3" t="str">
        <f>"["&amp;0&amp;N6&amp;"; "</f>
        <v xml:space="preserve">[0, -20, -0.9, -0.89, 40; </v>
      </c>
      <c r="R6" s="3"/>
      <c r="S6" s="3" t="s">
        <v>3</v>
      </c>
      <c r="T6" s="3" t="str">
        <f>Q6&amp;Q7&amp;Q8&amp;Q9&amp;Q10</f>
        <v>[0, -20, -0.9, -0.89, 40; -20, 0, 0, 0, 0; 1, 0, 0, 0, 0; 2, 0, 0, 0, 0; 40, 0, 0, 0, 0]</v>
      </c>
      <c r="AB6" s="1" t="s">
        <v>0</v>
      </c>
      <c r="AD6" s="1">
        <f>ROW()-ROW(AD$5)</f>
        <v>1</v>
      </c>
      <c r="AF6" s="4"/>
      <c r="AG6" s="1">
        <v>-10</v>
      </c>
      <c r="AH6" s="1">
        <v>-0.9</v>
      </c>
      <c r="AI6" s="1">
        <v>-0.89</v>
      </c>
      <c r="AJ6" s="1">
        <v>0</v>
      </c>
      <c r="AL6" s="1" t="str">
        <f>AF6&amp;", "&amp;AG6&amp;", "&amp;AH6&amp;", "&amp;AI6&amp;", "&amp;AJ6</f>
        <v>, -10, -0.9, -0.89, 0</v>
      </c>
      <c r="AN6" s="3" t="s">
        <v>3</v>
      </c>
      <c r="AO6" s="3" t="str">
        <f>"["&amp;0&amp;AL6&amp;"; "</f>
        <v xml:space="preserve">[0, -10, -0.9, -0.89, 0; </v>
      </c>
      <c r="AP6" s="3"/>
      <c r="AQ6" s="3" t="s">
        <v>3</v>
      </c>
      <c r="AR6" s="3" t="str">
        <f>AO6&amp;AO7&amp;AO8&amp;AO9&amp;AO10</f>
        <v>[0, -10, -0.9, -0.89, 0; 0, 0.2, 0.2, 0, 0; 1, 0.2, 0.2, 0, 0; 2, 0.2, 0.2, 0, 0; 10, 0.2, 0.2, 0, 0]</v>
      </c>
      <c r="AZ6" s="1" t="s">
        <v>0</v>
      </c>
      <c r="BB6" s="1">
        <f>ROW()-ROW(BB$5)</f>
        <v>1</v>
      </c>
      <c r="BD6" s="4"/>
      <c r="BE6" s="1">
        <v>-30</v>
      </c>
      <c r="BF6" s="1">
        <v>-5</v>
      </c>
      <c r="BG6" s="1">
        <v>-0.01</v>
      </c>
      <c r="BH6" s="1">
        <v>0</v>
      </c>
      <c r="BI6" s="1">
        <v>1.99</v>
      </c>
      <c r="BJ6" s="1">
        <v>2</v>
      </c>
      <c r="BK6" s="1">
        <v>3.99</v>
      </c>
      <c r="BL6" s="1">
        <v>4</v>
      </c>
      <c r="BM6" s="1">
        <v>5.99</v>
      </c>
      <c r="BN6" s="1">
        <v>6</v>
      </c>
      <c r="BO6" s="1">
        <v>7.99</v>
      </c>
      <c r="BP6" s="1">
        <v>8</v>
      </c>
      <c r="BQ6" s="1">
        <v>40</v>
      </c>
      <c r="BS6" s="1" t="str">
        <f>BD6&amp;", "&amp;BE6&amp;", "&amp;BF6&amp;", "&amp;BG6&amp;", "&amp;BH6&amp;", "&amp;BI6&amp;", "&amp;BJ6&amp;", "&amp;BK6&amp;", "&amp;BL6&amp;", "&amp;BM6&amp;", "&amp;BN6&amp;", "&amp;BO6&amp;", "&amp;BP6&amp;", "&amp;BQ6</f>
        <v>, -30, -5, -0.01, 0, 1.99, 2, 3.99, 4, 5.99, 6, 7.99, 8, 40</v>
      </c>
      <c r="BU6" s="3" t="s">
        <v>3</v>
      </c>
      <c r="BV6" s="3" t="str">
        <f>"["&amp;0&amp;BS6&amp;"; "</f>
        <v xml:space="preserve">[0, -30, -5, -0.01, 0, 1.99, 2, 3.99, 4, 5.99, 6, 7.99, 8, 40; </v>
      </c>
      <c r="BW6" s="3"/>
      <c r="BX6" s="3" t="s">
        <v>3</v>
      </c>
      <c r="BY6" s="3" t="str">
        <f>BV6&amp;BV7&amp;BV8&amp;BV9&amp;BV10</f>
        <v>[0, -30, -5, -0.01, 0, 1.99, 2, 3.99, 4, 5.99, 6, 7.99, 8, 40; -20, 1, 1, 1, 0.8, 0.8, 0.6, 0.6, 0.4, 0.4, 0.2, 0.2, 0, 0; 0, 1, 1, 1, 0.8, 0.8, 0.6, 0.6, 0.4, 0.4, 0.2, 0.2, 0, 0; 20, 1, 1, 1, 0.8, 0.8, 0.6, 0.6, 0.4, 0.4, 0.2, 0.2, 0, 0; 60, 1, 1, 1, 0.8, 0.8, 0.6, 0.6, 0.4, 0.4, 0.2, 0.2, 0, 0]</v>
      </c>
      <c r="CG6" s="1" t="s">
        <v>0</v>
      </c>
    </row>
    <row r="7" spans="4:85" ht="14.4">
      <c r="D7" s="1" t="s">
        <v>0</v>
      </c>
      <c r="F7" s="1">
        <f>ROW()-ROW(F$5)</f>
        <v>2</v>
      </c>
      <c r="H7" s="1">
        <v>-20</v>
      </c>
      <c r="I7" s="5">
        <v>0</v>
      </c>
      <c r="J7" s="5">
        <v>0</v>
      </c>
      <c r="K7" s="5">
        <v>0</v>
      </c>
      <c r="L7" s="5">
        <v>0</v>
      </c>
      <c r="N7" s="1" t="str">
        <f>H7&amp;", "&amp;I7&amp;", "&amp;J7&amp;", "&amp;K7&amp;", "&amp;L7</f>
        <v>-20, 0, 0, 0, 0</v>
      </c>
      <c r="P7" s="3" t="s">
        <v>3</v>
      </c>
      <c r="Q7" s="3" t="str">
        <f>N7&amp;"; "</f>
        <v xml:space="preserve">-20, 0, 0, 0, 0; </v>
      </c>
      <c r="R7" s="3"/>
      <c r="S7" s="3"/>
      <c r="AB7" s="1" t="s">
        <v>0</v>
      </c>
      <c r="AD7" s="1">
        <f>ROW()-ROW(AD$5)</f>
        <v>2</v>
      </c>
      <c r="AF7" s="1">
        <v>0</v>
      </c>
      <c r="AG7" s="5">
        <v>0.2</v>
      </c>
      <c r="AH7" s="5">
        <v>0.2</v>
      </c>
      <c r="AI7" s="5">
        <v>0</v>
      </c>
      <c r="AJ7" s="5">
        <v>0</v>
      </c>
      <c r="AL7" s="1" t="str">
        <f>AF7&amp;", "&amp;AG7&amp;", "&amp;AH7&amp;", "&amp;AI7&amp;", "&amp;AJ7</f>
        <v>0, 0.2, 0.2, 0, 0</v>
      </c>
      <c r="AN7" s="3" t="s">
        <v>3</v>
      </c>
      <c r="AO7" s="3" t="str">
        <f>AL7&amp;"; "</f>
        <v xml:space="preserve">0, 0.2, 0.2, 0, 0; </v>
      </c>
      <c r="AP7" s="3"/>
      <c r="AQ7" s="3"/>
      <c r="AZ7" s="1" t="s">
        <v>0</v>
      </c>
      <c r="BB7" s="1">
        <f>ROW()-ROW(BB$5)</f>
        <v>2</v>
      </c>
      <c r="BD7" s="1">
        <v>-20</v>
      </c>
      <c r="BE7" s="5">
        <v>1</v>
      </c>
      <c r="BF7" s="5">
        <v>1</v>
      </c>
      <c r="BG7" s="5">
        <v>1</v>
      </c>
      <c r="BH7" s="5">
        <v>0.8</v>
      </c>
      <c r="BI7" s="5">
        <v>0.8</v>
      </c>
      <c r="BJ7" s="5">
        <v>0.6</v>
      </c>
      <c r="BK7" s="5">
        <v>0.6</v>
      </c>
      <c r="BL7" s="5">
        <v>0.4</v>
      </c>
      <c r="BM7" s="5">
        <v>0.4</v>
      </c>
      <c r="BN7" s="5">
        <v>0.2</v>
      </c>
      <c r="BO7" s="5">
        <v>0.2</v>
      </c>
      <c r="BP7" s="5">
        <v>0</v>
      </c>
      <c r="BQ7" s="5">
        <v>0</v>
      </c>
      <c r="BS7" s="1" t="str">
        <f>BD7&amp;", "&amp;BE7&amp;", "&amp;BF7&amp;", "&amp;BG7&amp;", "&amp;BH7&amp;", "&amp;BI7&amp;", "&amp;BJ7&amp;", "&amp;BK7&amp;", "&amp;BL7&amp;", "&amp;BM7&amp;", "&amp;BN7&amp;", "&amp;BO7&amp;", "&amp;BP7&amp;", "&amp;BQ7</f>
        <v>-20, 1, 1, 1, 0.8, 0.8, 0.6, 0.6, 0.4, 0.4, 0.2, 0.2, 0, 0</v>
      </c>
      <c r="BU7" s="3" t="s">
        <v>3</v>
      </c>
      <c r="BV7" s="3" t="str">
        <f>BS7&amp;"; "</f>
        <v xml:space="preserve">-20, 1, 1, 1, 0.8, 0.8, 0.6, 0.6, 0.4, 0.4, 0.2, 0.2, 0, 0; </v>
      </c>
      <c r="BW7" s="3"/>
      <c r="BX7" s="3"/>
      <c r="CG7" s="1" t="s">
        <v>0</v>
      </c>
    </row>
    <row r="8" spans="4:85" ht="14.4">
      <c r="D8" s="1" t="s">
        <v>0</v>
      </c>
      <c r="F8" s="1">
        <f>ROW()-ROW(F$5)</f>
        <v>3</v>
      </c>
      <c r="H8" s="6">
        <v>1</v>
      </c>
      <c r="I8" s="5">
        <v>0</v>
      </c>
      <c r="J8" s="5">
        <v>0</v>
      </c>
      <c r="K8" s="5">
        <v>0</v>
      </c>
      <c r="L8" s="5">
        <v>0</v>
      </c>
      <c r="N8" s="1" t="str">
        <f>H8&amp;", "&amp;I8&amp;", "&amp;J8&amp;", "&amp;K8&amp;", "&amp;L8</f>
        <v>1, 0, 0, 0, 0</v>
      </c>
      <c r="P8" s="3" t="s">
        <v>3</v>
      </c>
      <c r="Q8" s="3" t="str">
        <f>N8&amp;"; "</f>
        <v xml:space="preserve">1, 0, 0, 0, 0; </v>
      </c>
      <c r="R8" s="3"/>
      <c r="S8" s="3"/>
      <c r="AB8" s="1" t="s">
        <v>0</v>
      </c>
      <c r="AD8" s="1">
        <f>ROW()-ROW(AD$5)</f>
        <v>3</v>
      </c>
      <c r="AF8" s="6">
        <v>1</v>
      </c>
      <c r="AG8" s="5">
        <v>0.2</v>
      </c>
      <c r="AH8" s="5">
        <v>0.2</v>
      </c>
      <c r="AI8" s="7">
        <v>0</v>
      </c>
      <c r="AJ8" s="7">
        <v>0</v>
      </c>
      <c r="AL8" s="1" t="str">
        <f>AF8&amp;", "&amp;AG8&amp;", "&amp;AH8&amp;", "&amp;AI8&amp;", "&amp;AJ8</f>
        <v>1, 0.2, 0.2, 0, 0</v>
      </c>
      <c r="AN8" s="3" t="s">
        <v>3</v>
      </c>
      <c r="AO8" s="3" t="str">
        <f>AL8&amp;"; "</f>
        <v xml:space="preserve">1, 0.2, 0.2, 0, 0; </v>
      </c>
      <c r="AP8" s="3"/>
      <c r="AQ8" s="3"/>
      <c r="AZ8" s="1" t="s">
        <v>0</v>
      </c>
      <c r="BB8" s="1">
        <f>ROW()-ROW(BB$5)</f>
        <v>3</v>
      </c>
      <c r="BD8" s="6">
        <v>0</v>
      </c>
      <c r="BE8" s="5">
        <v>1</v>
      </c>
      <c r="BF8" s="5">
        <v>1</v>
      </c>
      <c r="BG8" s="5">
        <v>1</v>
      </c>
      <c r="BH8" s="5">
        <v>0.8</v>
      </c>
      <c r="BI8" s="5">
        <v>0.8</v>
      </c>
      <c r="BJ8" s="5">
        <v>0.6</v>
      </c>
      <c r="BK8" s="5">
        <v>0.6</v>
      </c>
      <c r="BL8" s="5">
        <v>0.4</v>
      </c>
      <c r="BM8" s="5">
        <v>0.4</v>
      </c>
      <c r="BN8" s="5">
        <v>0.2</v>
      </c>
      <c r="BO8" s="5">
        <v>0.2</v>
      </c>
      <c r="BP8" s="7">
        <v>0</v>
      </c>
      <c r="BQ8" s="7">
        <v>0</v>
      </c>
      <c r="BS8" s="1" t="str">
        <f>BD8&amp;", "&amp;BE8&amp;", "&amp;BF8&amp;", "&amp;BG8&amp;", "&amp;BH8&amp;", "&amp;BI8&amp;", "&amp;BJ8&amp;", "&amp;BK8&amp;", "&amp;BL8&amp;", "&amp;BM8&amp;", "&amp;BN8&amp;", "&amp;BO8&amp;", "&amp;BP8&amp;", "&amp;BQ8</f>
        <v>0, 1, 1, 1, 0.8, 0.8, 0.6, 0.6, 0.4, 0.4, 0.2, 0.2, 0, 0</v>
      </c>
      <c r="BU8" s="3" t="s">
        <v>3</v>
      </c>
      <c r="BV8" s="3" t="str">
        <f>BS8&amp;"; "</f>
        <v xml:space="preserve">0, 1, 1, 1, 0.8, 0.8, 0.6, 0.6, 0.4, 0.4, 0.2, 0.2, 0, 0; </v>
      </c>
      <c r="BW8" s="3"/>
      <c r="BX8" s="3"/>
      <c r="CG8" s="1" t="s">
        <v>0</v>
      </c>
    </row>
    <row r="9" spans="4:85" ht="14.4">
      <c r="D9" s="1" t="s">
        <v>0</v>
      </c>
      <c r="F9" s="1">
        <f>ROW()-ROW(F$5)</f>
        <v>4</v>
      </c>
      <c r="H9" s="1">
        <v>2</v>
      </c>
      <c r="I9" s="5">
        <v>0</v>
      </c>
      <c r="J9" s="5">
        <v>0</v>
      </c>
      <c r="K9" s="5">
        <v>0</v>
      </c>
      <c r="L9" s="5">
        <v>0</v>
      </c>
      <c r="N9" s="1" t="str">
        <f>H9&amp;", "&amp;I9&amp;", "&amp;J9&amp;", "&amp;K9&amp;", "&amp;L9</f>
        <v>2, 0, 0, 0, 0</v>
      </c>
      <c r="P9" s="3" t="s">
        <v>3</v>
      </c>
      <c r="Q9" s="3" t="str">
        <f>N9&amp;"; "</f>
        <v xml:space="preserve">2, 0, 0, 0, 0; </v>
      </c>
      <c r="R9" s="3"/>
      <c r="S9" s="3"/>
      <c r="AB9" s="1" t="s">
        <v>0</v>
      </c>
      <c r="AD9" s="1">
        <f>ROW()-ROW(AD$5)</f>
        <v>4</v>
      </c>
      <c r="AF9" s="1">
        <v>2</v>
      </c>
      <c r="AG9" s="5">
        <v>0.2</v>
      </c>
      <c r="AH9" s="5">
        <v>0.2</v>
      </c>
      <c r="AI9" s="8">
        <v>0</v>
      </c>
      <c r="AJ9" s="8">
        <v>0</v>
      </c>
      <c r="AL9" s="1" t="str">
        <f>AF9&amp;", "&amp;AG9&amp;", "&amp;AH9&amp;", "&amp;AI9&amp;", "&amp;AJ9</f>
        <v>2, 0.2, 0.2, 0, 0</v>
      </c>
      <c r="AN9" s="3" t="s">
        <v>3</v>
      </c>
      <c r="AO9" s="3" t="str">
        <f>AL9&amp;"; "</f>
        <v xml:space="preserve">2, 0.2, 0.2, 0, 0; </v>
      </c>
      <c r="AP9" s="3"/>
      <c r="AQ9" s="3"/>
      <c r="AZ9" s="1" t="s">
        <v>0</v>
      </c>
      <c r="BB9" s="1">
        <f>ROW()-ROW(BB$5)</f>
        <v>4</v>
      </c>
      <c r="BD9" s="1">
        <v>20</v>
      </c>
      <c r="BE9" s="5">
        <v>1</v>
      </c>
      <c r="BF9" s="5">
        <v>1</v>
      </c>
      <c r="BG9" s="5">
        <v>1</v>
      </c>
      <c r="BH9" s="5">
        <v>0.8</v>
      </c>
      <c r="BI9" s="5">
        <v>0.8</v>
      </c>
      <c r="BJ9" s="5">
        <v>0.6</v>
      </c>
      <c r="BK9" s="5">
        <v>0.6</v>
      </c>
      <c r="BL9" s="5">
        <v>0.4</v>
      </c>
      <c r="BM9" s="5">
        <v>0.4</v>
      </c>
      <c r="BN9" s="5">
        <v>0.2</v>
      </c>
      <c r="BO9" s="5">
        <v>0.2</v>
      </c>
      <c r="BP9" s="8">
        <v>0</v>
      </c>
      <c r="BQ9" s="8">
        <v>0</v>
      </c>
      <c r="BS9" s="1" t="str">
        <f>BD9&amp;", "&amp;BE9&amp;", "&amp;BF9&amp;", "&amp;BG9&amp;", "&amp;BH9&amp;", "&amp;BI9&amp;", "&amp;BJ9&amp;", "&amp;BK9&amp;", "&amp;BL9&amp;", "&amp;BM9&amp;", "&amp;BN9&amp;", "&amp;BO9&amp;", "&amp;BP9&amp;", "&amp;BQ9</f>
        <v>20, 1, 1, 1, 0.8, 0.8, 0.6, 0.6, 0.4, 0.4, 0.2, 0.2, 0, 0</v>
      </c>
      <c r="BU9" s="3" t="s">
        <v>3</v>
      </c>
      <c r="BV9" s="3" t="str">
        <f>BS9&amp;"; "</f>
        <v xml:space="preserve">20, 1, 1, 1, 0.8, 0.8, 0.6, 0.6, 0.4, 0.4, 0.2, 0.2, 0, 0; </v>
      </c>
      <c r="BW9" s="3"/>
      <c r="BX9" s="3"/>
      <c r="CG9" s="1" t="s">
        <v>0</v>
      </c>
    </row>
    <row r="10" spans="4:85" ht="14.4">
      <c r="D10" s="1" t="s">
        <v>0</v>
      </c>
      <c r="F10" s="1">
        <f>ROW()-ROW(F$5)</f>
        <v>5</v>
      </c>
      <c r="H10" s="1">
        <v>40</v>
      </c>
      <c r="I10" s="5">
        <v>0</v>
      </c>
      <c r="J10" s="5">
        <v>0</v>
      </c>
      <c r="K10" s="5">
        <v>0</v>
      </c>
      <c r="L10" s="5">
        <v>0</v>
      </c>
      <c r="N10" s="1" t="str">
        <f>H10&amp;", "&amp;I10&amp;", "&amp;J10&amp;", "&amp;K10&amp;", "&amp;L10</f>
        <v>40, 0, 0, 0, 0</v>
      </c>
      <c r="P10" s="3" t="s">
        <v>3</v>
      </c>
      <c r="Q10" s="3" t="str">
        <f>N10&amp;"]"</f>
        <v>40, 0, 0, 0, 0]</v>
      </c>
      <c r="R10" s="3"/>
      <c r="S10" s="3"/>
      <c r="AB10" s="1" t="s">
        <v>0</v>
      </c>
      <c r="AD10" s="1">
        <f>ROW()-ROW(AD$5)</f>
        <v>5</v>
      </c>
      <c r="AF10" s="1">
        <v>10</v>
      </c>
      <c r="AG10" s="5">
        <v>0.2</v>
      </c>
      <c r="AH10" s="5">
        <v>0.2</v>
      </c>
      <c r="AI10" s="7">
        <v>0</v>
      </c>
      <c r="AJ10" s="7">
        <v>0</v>
      </c>
      <c r="AL10" s="1" t="str">
        <f>AF10&amp;", "&amp;AG10&amp;", "&amp;AH10&amp;", "&amp;AI10&amp;", "&amp;AJ10</f>
        <v>10, 0.2, 0.2, 0, 0</v>
      </c>
      <c r="AN10" s="3" t="s">
        <v>3</v>
      </c>
      <c r="AO10" s="3" t="str">
        <f>AL10&amp;"]"</f>
        <v>10, 0.2, 0.2, 0, 0]</v>
      </c>
      <c r="AP10" s="3"/>
      <c r="AQ10" s="3"/>
      <c r="AZ10" s="1" t="s">
        <v>0</v>
      </c>
      <c r="BB10" s="1">
        <f>ROW()-ROW(BB$5)</f>
        <v>5</v>
      </c>
      <c r="BD10" s="1">
        <v>60</v>
      </c>
      <c r="BE10" s="5">
        <v>1</v>
      </c>
      <c r="BF10" s="5">
        <v>1</v>
      </c>
      <c r="BG10" s="5">
        <v>1</v>
      </c>
      <c r="BH10" s="5">
        <v>0.8</v>
      </c>
      <c r="BI10" s="5">
        <v>0.8</v>
      </c>
      <c r="BJ10" s="5">
        <v>0.6</v>
      </c>
      <c r="BK10" s="5">
        <v>0.6</v>
      </c>
      <c r="BL10" s="5">
        <v>0.4</v>
      </c>
      <c r="BM10" s="5">
        <v>0.4</v>
      </c>
      <c r="BN10" s="5">
        <v>0.2</v>
      </c>
      <c r="BO10" s="5">
        <v>0.2</v>
      </c>
      <c r="BP10" s="7">
        <v>0</v>
      </c>
      <c r="BQ10" s="7">
        <v>0</v>
      </c>
      <c r="BS10" s="1" t="str">
        <f>BD10&amp;", "&amp;BE10&amp;", "&amp;BF10&amp;", "&amp;BG10&amp;", "&amp;BH10&amp;", "&amp;BI10&amp;", "&amp;BJ10&amp;", "&amp;BK10&amp;", "&amp;BL10&amp;", "&amp;BM10&amp;", "&amp;BN10&amp;", "&amp;BO10&amp;", "&amp;BP10&amp;", "&amp;BQ10</f>
        <v>60, 1, 1, 1, 0.8, 0.8, 0.6, 0.6, 0.4, 0.4, 0.2, 0.2, 0, 0</v>
      </c>
      <c r="BU10" s="3" t="s">
        <v>3</v>
      </c>
      <c r="BV10" s="3" t="str">
        <f>BS10&amp;"]"</f>
        <v>60, 1, 1, 1, 0.8, 0.8, 0.6, 0.6, 0.4, 0.4, 0.2, 0.2, 0, 0]</v>
      </c>
      <c r="BW10" s="3"/>
      <c r="BX10" s="3"/>
      <c r="CG10" s="1" t="s">
        <v>0</v>
      </c>
    </row>
    <row r="11" spans="4:85" ht="14.4">
      <c r="D11" s="1" t="s">
        <v>0</v>
      </c>
      <c r="K11" s="6"/>
      <c r="L11" s="6"/>
      <c r="T11" s="3"/>
      <c r="AB11" s="1" t="s">
        <v>0</v>
      </c>
      <c r="AI11" s="6"/>
      <c r="AJ11" s="6"/>
      <c r="AR11" s="3"/>
      <c r="AZ11" s="1" t="s">
        <v>0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Y11" s="3"/>
      <c r="CG11" s="1" t="s">
        <v>0</v>
      </c>
    </row>
    <row r="12" spans="4:85" ht="12.6">
      <c r="D12" s="1" t="s">
        <v>0</v>
      </c>
      <c r="K12" s="6"/>
      <c r="L12" s="6"/>
      <c r="AB12" s="1" t="s">
        <v>0</v>
      </c>
      <c r="AI12" s="6"/>
      <c r="AJ12" s="6"/>
      <c r="AZ12" s="1" t="s">
        <v>0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CG12" s="1" t="s">
        <v>0</v>
      </c>
    </row>
    <row r="13" spans="4:85" ht="12.6">
      <c r="D13" s="1" t="s">
        <v>0</v>
      </c>
      <c r="K13" s="6"/>
      <c r="L13" s="6"/>
      <c r="AB13" s="1" t="s">
        <v>0</v>
      </c>
      <c r="AI13" s="6"/>
      <c r="AJ13" s="6"/>
      <c r="AZ13" s="1" t="s">
        <v>0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CG13" s="1" t="s">
        <v>0</v>
      </c>
    </row>
    <row r="14" spans="4:85">
      <c r="D14" s="1" t="s">
        <v>0</v>
      </c>
      <c r="AB14" s="1" t="s">
        <v>0</v>
      </c>
      <c r="AZ14" s="1" t="s">
        <v>0</v>
      </c>
      <c r="CG14" s="1" t="s">
        <v>0</v>
      </c>
    </row>
    <row r="15" spans="4:85">
      <c r="D15" s="1" t="s">
        <v>0</v>
      </c>
      <c r="AB15" s="1" t="s">
        <v>0</v>
      </c>
      <c r="AZ15" s="1" t="s">
        <v>0</v>
      </c>
      <c r="CG15" s="1" t="s">
        <v>0</v>
      </c>
    </row>
    <row r="16" spans="4:85">
      <c r="D16" s="1" t="s">
        <v>0</v>
      </c>
      <c r="AB16" s="1" t="s">
        <v>0</v>
      </c>
      <c r="AZ16" s="1" t="s">
        <v>0</v>
      </c>
      <c r="CG16" s="1" t="s">
        <v>0</v>
      </c>
    </row>
    <row r="17" spans="4:85">
      <c r="D17" s="1" t="s">
        <v>0</v>
      </c>
      <c r="AB17" s="1" t="s">
        <v>0</v>
      </c>
      <c r="AZ17" s="1" t="s">
        <v>0</v>
      </c>
      <c r="CG17" s="1" t="s">
        <v>0</v>
      </c>
    </row>
    <row r="18" spans="4:85">
      <c r="D18" s="1" t="s">
        <v>0</v>
      </c>
      <c r="AB18" s="1" t="s">
        <v>0</v>
      </c>
      <c r="AZ18" s="1" t="s">
        <v>0</v>
      </c>
      <c r="CG18" s="1" t="s">
        <v>0</v>
      </c>
    </row>
    <row r="19" spans="4:85">
      <c r="D19" s="1" t="s">
        <v>0</v>
      </c>
      <c r="AB19" s="1" t="s">
        <v>0</v>
      </c>
      <c r="AZ19" s="1" t="s">
        <v>0</v>
      </c>
      <c r="CG19" s="1" t="s">
        <v>0</v>
      </c>
    </row>
    <row r="20" spans="4:85">
      <c r="D20" s="1" t="s">
        <v>0</v>
      </c>
      <c r="AB20" s="1" t="s">
        <v>0</v>
      </c>
      <c r="AZ20" s="1" t="s">
        <v>0</v>
      </c>
      <c r="CG20" s="1" t="s">
        <v>0</v>
      </c>
    </row>
    <row r="21" spans="4:85">
      <c r="D21" s="1" t="s">
        <v>0</v>
      </c>
      <c r="AB21" s="1" t="s">
        <v>0</v>
      </c>
      <c r="AZ21" s="1" t="s">
        <v>0</v>
      </c>
      <c r="CG21" s="1" t="s">
        <v>0</v>
      </c>
    </row>
    <row r="22" spans="4:85">
      <c r="D22" s="1" t="s">
        <v>0</v>
      </c>
      <c r="AB22" s="1" t="s">
        <v>0</v>
      </c>
      <c r="AZ22" s="1" t="s">
        <v>0</v>
      </c>
      <c r="CG22" s="1" t="s">
        <v>0</v>
      </c>
    </row>
    <row r="23" spans="4:85">
      <c r="D23" s="1" t="s">
        <v>0</v>
      </c>
      <c r="AB23" s="1" t="s">
        <v>0</v>
      </c>
      <c r="AZ23" s="1" t="s">
        <v>0</v>
      </c>
      <c r="CG23" s="1" t="s">
        <v>0</v>
      </c>
    </row>
    <row r="24" spans="4:85">
      <c r="D24" s="1" t="s">
        <v>0</v>
      </c>
      <c r="AB24" s="1" t="s">
        <v>0</v>
      </c>
      <c r="AZ24" s="1" t="s">
        <v>0</v>
      </c>
      <c r="CG24" s="1" t="s">
        <v>0</v>
      </c>
    </row>
    <row r="25" spans="4:85">
      <c r="D25" s="1" t="s">
        <v>0</v>
      </c>
      <c r="AB25" s="1" t="s">
        <v>0</v>
      </c>
      <c r="AZ25" s="1" t="s">
        <v>0</v>
      </c>
      <c r="CG25" s="1" t="s">
        <v>0</v>
      </c>
    </row>
    <row r="26" spans="4:85">
      <c r="D26" s="1" t="s">
        <v>0</v>
      </c>
      <c r="T26" s="1" t="s">
        <v>5</v>
      </c>
      <c r="AB26" s="1" t="s">
        <v>0</v>
      </c>
      <c r="AZ26" s="1" t="s">
        <v>0</v>
      </c>
      <c r="CG26" s="1" t="s">
        <v>0</v>
      </c>
    </row>
    <row r="27" spans="4:85">
      <c r="D27" s="1" t="s">
        <v>0</v>
      </c>
      <c r="AB27" s="1" t="s">
        <v>0</v>
      </c>
      <c r="AZ27" s="1" t="s">
        <v>0</v>
      </c>
      <c r="CG27" s="1" t="s">
        <v>0</v>
      </c>
    </row>
    <row r="30" spans="4:85">
      <c r="BY30" s="1" t="s">
        <v>4</v>
      </c>
    </row>
  </sheetData>
  <phoneticPr fontId="4"/>
  <conditionalFormatting sqref="BD7:BD1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conditionalFormatting sqref="BE6:BQ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E7:BQ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5 az</cp:lastModifiedBy>
  <cp:revision>8</cp:revision>
  <dcterms:created xsi:type="dcterms:W3CDTF">2026-06-07T18:15:29Z</dcterms:created>
  <dcterms:modified xsi:type="dcterms:W3CDTF">2026-08-19T19:44:20Z</dcterms:modified>
  <dc:language>ja-JP</dc:language>
</cp:coreProperties>
</file>